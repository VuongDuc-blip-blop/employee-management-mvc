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PLONG\Desktop\"/>
    </mc:Choice>
  </mc:AlternateContent>
  <xr:revisionPtr revIDLastSave="0" documentId="8_{0E7CFBB1-1F9C-47CD-AF26-B90BA0CFC8BD}" xr6:coauthVersionLast="45" xr6:coauthVersionMax="45" xr10:uidLastSave="{00000000-0000-0000-0000-000000000000}"/>
  <bookViews>
    <workbookView xWindow="-108" yWindow="-108" windowWidth="23256" windowHeight="12576" xr2:uid="{21741E73-CCEA-4B1D-92D8-D19E0333E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" i="1" l="1"/>
  <c r="P4" i="1"/>
  <c r="P35" i="1"/>
  <c r="P34" i="1"/>
  <c r="P33" i="1"/>
  <c r="P32" i="1"/>
  <c r="P31" i="1"/>
  <c r="P30" i="1"/>
  <c r="B30" i="1" s="1"/>
  <c r="O30" i="1"/>
  <c r="N30" i="1"/>
  <c r="M30" i="1"/>
  <c r="L30" i="1"/>
  <c r="K30" i="1"/>
  <c r="J30" i="1"/>
  <c r="I30" i="1"/>
  <c r="H30" i="1"/>
  <c r="G30" i="1"/>
  <c r="F30" i="1"/>
  <c r="E30" i="1"/>
  <c r="D30" i="1"/>
  <c r="P29" i="1"/>
  <c r="P28" i="1"/>
  <c r="P27" i="1"/>
  <c r="P26" i="1"/>
  <c r="P25" i="1"/>
  <c r="P24" i="1" s="1"/>
  <c r="B24" i="1" s="1"/>
  <c r="O24" i="1"/>
  <c r="N24" i="1"/>
  <c r="M24" i="1"/>
  <c r="L24" i="1"/>
  <c r="L11" i="1" s="1"/>
  <c r="K24" i="1"/>
  <c r="J24" i="1"/>
  <c r="I24" i="1"/>
  <c r="H24" i="1"/>
  <c r="G24" i="1"/>
  <c r="F24" i="1"/>
  <c r="E24" i="1"/>
  <c r="D24" i="1"/>
  <c r="D11" i="1" s="1"/>
  <c r="P23" i="1"/>
  <c r="P18" i="1" s="1"/>
  <c r="B18" i="1" s="1"/>
  <c r="P22" i="1"/>
  <c r="P21" i="1"/>
  <c r="P20" i="1"/>
  <c r="P19" i="1"/>
  <c r="O18" i="1"/>
  <c r="N18" i="1"/>
  <c r="M18" i="1"/>
  <c r="L18" i="1"/>
  <c r="K18" i="1"/>
  <c r="J18" i="1"/>
  <c r="I18" i="1"/>
  <c r="H18" i="1"/>
  <c r="G18" i="1"/>
  <c r="F18" i="1"/>
  <c r="E18" i="1"/>
  <c r="D18" i="1"/>
  <c r="P17" i="1"/>
  <c r="P16" i="1"/>
  <c r="P15" i="1"/>
  <c r="P14" i="1"/>
  <c r="P13" i="1"/>
  <c r="P12" i="1" s="1"/>
  <c r="B12" i="1" s="1"/>
  <c r="O12" i="1"/>
  <c r="N12" i="1"/>
  <c r="M12" i="1"/>
  <c r="L12" i="1"/>
  <c r="K12" i="1"/>
  <c r="K11" i="1" s="1"/>
  <c r="K10" i="1" s="1"/>
  <c r="J12" i="1"/>
  <c r="J11" i="1" s="1"/>
  <c r="I12" i="1"/>
  <c r="I11" i="1" s="1"/>
  <c r="I10" i="1" s="1"/>
  <c r="H12" i="1"/>
  <c r="H11" i="1" s="1"/>
  <c r="H10" i="1" s="1"/>
  <c r="G12" i="1"/>
  <c r="F12" i="1"/>
  <c r="E12" i="1"/>
  <c r="D12" i="1"/>
  <c r="O11" i="1"/>
  <c r="O10" i="1" s="1"/>
  <c r="N11" i="1"/>
  <c r="N10" i="1" s="1"/>
  <c r="M11" i="1"/>
  <c r="G11" i="1"/>
  <c r="G10" i="1" s="1"/>
  <c r="F11" i="1"/>
  <c r="F10" i="1" s="1"/>
  <c r="E11" i="1"/>
  <c r="E10" i="1" s="1"/>
  <c r="L10" i="1" l="1"/>
  <c r="M10" i="1"/>
  <c r="J10" i="1"/>
  <c r="B9" i="1"/>
</calcChain>
</file>

<file path=xl/sharedStrings.xml><?xml version="1.0" encoding="utf-8"?>
<sst xmlns="http://schemas.openxmlformats.org/spreadsheetml/2006/main" count="57" uniqueCount="33">
  <si>
    <t>Tổng cty
(7 tháng)</t>
  </si>
  <si>
    <t>DS Taiwan Meters theo tháng - năm 2020 (đơn vị triệu đồng)</t>
  </si>
  <si>
    <t>Chi nhánh</t>
  </si>
  <si>
    <t>Kênh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</si>
  <si>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</si>
  <si>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</si>
  <si>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</si>
  <si>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</si>
  <si>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</si>
  <si>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</si>
  <si>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</si>
  <si>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</si>
  <si>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</si>
  <si>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</si>
  <si>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</si>
  <si>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</si>
  <si>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Tổng</t>
  </si>
  <si>
    <t>Tăng trưởng</t>
  </si>
  <si>
    <t>Tổng cty
(tháng)</t>
  </si>
  <si>
    <t>Hà Nội</t>
  </si>
  <si>
    <t>Tổng CN</t>
  </si>
  <si>
    <t>TM</t>
  </si>
  <si>
    <t>Tủ điện</t>
  </si>
  <si>
    <t>OEM</t>
  </si>
  <si>
    <t xml:space="preserve">EU </t>
  </si>
  <si>
    <t>Khác</t>
  </si>
  <si>
    <t>HCM</t>
  </si>
  <si>
    <t>HP</t>
  </si>
  <si>
    <t>ĐN</t>
  </si>
  <si>
    <t>Total</t>
  </si>
  <si>
    <t>Hàng đặt</t>
  </si>
  <si>
    <t>Hàng về</t>
  </si>
  <si>
    <t>Bảng kế hoạch doanh số nhập hàng Taiwan Meters - 2020 (triệu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</si>
</sst>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2" xfId="0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right" vertical="center"/>
    </xf>
    <xf numFmtId="3" fontId="2" fillId="6" borderId="1" xfId="0" applyNumberFormat="1" applyFont="1" applyFill="1" applyBorder="1" applyAlignment="1">
      <alignment horizontal="right" vertical="center"/>
    </xf>
    <xf numFmtId="3" fontId="2" fillId="7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right" vertical="center"/>
    </xf>
    <xf numFmtId="3" fontId="2" fillId="8" borderId="3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vertical="center"/>
    </xf>
    <xf numFmtId="3" fontId="0" fillId="6" borderId="1" xfId="0" applyNumberFormat="1" applyFill="1" applyBorder="1" applyAlignment="1">
      <alignment vertical="center"/>
    </xf>
    <xf numFmtId="3" fontId="0" fillId="7" borderId="1" xfId="0" applyNumberFormat="1" applyFill="1" applyBorder="1" applyAlignment="1">
      <alignment vertical="center"/>
    </xf>
    <xf numFmtId="3" fontId="0" fillId="0" borderId="3" xfId="0" applyNumberFormat="1" applyBorder="1" applyAlignment="1">
      <alignment vertical="center"/>
    </xf>
    <xf numFmtId="164" fontId="2" fillId="8" borderId="1" xfId="0" applyNumberFormat="1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vertical="center"/>
    </xf>
    <xf numFmtId="3" fontId="2" fillId="8" borderId="3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0" borderId="1" xfId="0" applyNumberFormat="1" applyBorder="1"/>
    <xf numFmtId="1" fontId="0" fillId="4" borderId="1" xfId="0" applyNumberFormat="1" applyFill="1" applyBorder="1"/>
    <xf numFmtId="1" fontId="0" fillId="5" borderId="1" xfId="0" applyNumberFormat="1" applyFill="1" applyBorder="1" applyAlignment="1">
      <alignment vertical="center"/>
    </xf>
    <xf numFmtId="1" fontId="0" fillId="6" borderId="1" xfId="0" applyNumberFormat="1" applyFill="1" applyBorder="1"/>
    <xf numFmtId="1" fontId="0" fillId="7" borderId="1" xfId="0" applyNumberFormat="1" applyFill="1" applyBorder="1"/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0" borderId="5" xfId="0" applyNumberFormat="1" applyBorder="1"/>
    <xf numFmtId="3" fontId="0" fillId="3" borderId="5" xfId="0" applyNumberFormat="1" applyFill="1" applyBorder="1" applyAlignment="1">
      <alignment vertical="center"/>
    </xf>
    <xf numFmtId="1" fontId="0" fillId="4" borderId="5" xfId="0" applyNumberFormat="1" applyFill="1" applyBorder="1"/>
    <xf numFmtId="1" fontId="0" fillId="5" borderId="5" xfId="0" applyNumberFormat="1" applyFill="1" applyBorder="1" applyAlignment="1">
      <alignment vertical="center"/>
    </xf>
    <xf numFmtId="1" fontId="0" fillId="6" borderId="5" xfId="0" applyNumberFormat="1" applyFill="1" applyBorder="1"/>
    <xf numFmtId="1" fontId="0" fillId="7" borderId="5" xfId="0" applyNumberFormat="1" applyFill="1" applyBorder="1"/>
    <xf numFmtId="3" fontId="0" fillId="0" borderId="6" xfId="0" applyNumberFormat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0" fillId="0" borderId="0" xfId="1" applyNumberFormat="1" applyFont="1" applyFill="1" applyBorder="1" applyAlignment="1">
      <alignment wrapText="1"/>
    </xf>
    <xf numFmtId="165" fontId="2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wrapText="1"/>
    </xf>
    <xf numFmtId="165" fontId="0" fillId="0" borderId="0" xfId="1" applyNumberFormat="1" applyFont="1" applyFill="1" applyBorder="1"/>
    <xf numFmtId="0" fontId="2" fillId="0" borderId="0" xfId="0" applyFont="1" applyBorder="1" applyAlignment="1">
      <alignment vertical="center"/>
    </xf>
    <xf numFmtId="165" fontId="0" fillId="0" borderId="2" xfId="1" applyNumberFormat="1" applyFont="1" applyFill="1" applyBorder="1" applyAlignment="1">
      <alignment vertical="center" wrapText="1"/>
    </xf>
    <xf numFmtId="165" fontId="2" fillId="0" borderId="2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 wrapText="1"/>
    </xf>
    <xf numFmtId="165" fontId="0" fillId="0" borderId="1" xfId="1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165" fontId="2" fillId="0" borderId="4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 wrapText="1"/>
    </xf>
    <xf numFmtId="165" fontId="0" fillId="0" borderId="5" xfId="1" applyNumberFormat="1" applyFont="1" applyFill="1" applyBorder="1" applyAlignment="1">
      <alignment vertical="center"/>
    </xf>
    <xf numFmtId="165" fontId="0" fillId="0" borderId="6" xfId="1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AC4F-80E4-4857-88FB-15A6AAE0B7AF}">
  <dimension ref="A1:AA35"/>
  <sheetViews>
    <sheetView tabSelected="1" workbookViewId="0">
      <selection activeCell="S7" sqref="S7"/>
    </sheetView>
  </sheetViews>
  <sheetFormatPr defaultRowHeight="14.4" x14ac:dyDescent="0.3"/>
  <sheetData>
    <row r="1" spans="1:27" ht="15" thickBot="1" x14ac:dyDescent="0.35"/>
    <row r="2" spans="1:27" ht="30.6" customHeight="1" x14ac:dyDescent="0.3">
      <c r="B2" s="62"/>
      <c r="C2" s="62"/>
      <c r="D2" s="62"/>
      <c r="E2" s="62"/>
      <c r="F2" s="62"/>
      <c r="G2" s="62"/>
      <c r="H2" s="62"/>
      <c r="I2" s="51" t="s">
        <v>32</v>
      </c>
      <c r="J2" s="52"/>
      <c r="K2" s="52"/>
      <c r="L2" s="52"/>
      <c r="M2" s="52"/>
      <c r="N2" s="52"/>
      <c r="O2" s="52"/>
      <c r="P2" s="53"/>
      <c r="Q2" s="62"/>
      <c r="R2" s="62"/>
      <c r="T2" s="62"/>
      <c r="U2" s="62"/>
      <c r="V2" s="62"/>
      <c r="W2" s="62"/>
      <c r="X2" s="62"/>
      <c r="Y2" s="62"/>
      <c r="Z2" s="62"/>
      <c r="AA2" s="62"/>
    </row>
    <row r="3" spans="1:27" ht="27" customHeight="1" x14ac:dyDescent="0.3">
      <c r="B3" s="57"/>
      <c r="C3" s="58"/>
      <c r="D3" s="59"/>
      <c r="E3" s="59"/>
      <c r="F3" s="59"/>
      <c r="G3" s="59"/>
      <c r="H3" s="59"/>
      <c r="I3" s="63"/>
      <c r="J3" s="54" t="s">
        <v>10</v>
      </c>
      <c r="K3" s="55" t="s">
        <v>11</v>
      </c>
      <c r="L3" s="55" t="s">
        <v>12</v>
      </c>
      <c r="M3" s="55" t="s">
        <v>13</v>
      </c>
      <c r="N3" s="55" t="s">
        <v>14</v>
      </c>
      <c r="O3" s="55" t="s">
        <v>15</v>
      </c>
      <c r="P3" s="56" t="s">
        <v>29</v>
      </c>
      <c r="Q3" s="59"/>
      <c r="R3" s="59"/>
      <c r="T3" s="57"/>
      <c r="U3" s="58"/>
      <c r="V3" s="59"/>
      <c r="W3" s="59"/>
      <c r="X3" s="59"/>
      <c r="Y3" s="59"/>
      <c r="Z3" s="59"/>
      <c r="AA3" s="59"/>
    </row>
    <row r="4" spans="1:27" ht="28.8" x14ac:dyDescent="0.3">
      <c r="B4" s="60"/>
      <c r="C4" s="57"/>
      <c r="D4" s="61"/>
      <c r="E4" s="61"/>
      <c r="F4" s="61"/>
      <c r="G4" s="61"/>
      <c r="H4" s="61"/>
      <c r="I4" s="64" t="s">
        <v>30</v>
      </c>
      <c r="J4" s="65">
        <v>1400</v>
      </c>
      <c r="K4" s="66"/>
      <c r="L4" s="66">
        <v>1000</v>
      </c>
      <c r="M4" s="66"/>
      <c r="N4" s="66"/>
      <c r="O4" s="66"/>
      <c r="P4" s="67">
        <f t="shared" ref="P4" si="0">SUM(J4:O4)</f>
        <v>2400</v>
      </c>
      <c r="Q4" s="61"/>
      <c r="R4" s="61"/>
      <c r="T4" s="60"/>
      <c r="U4" s="57"/>
      <c r="V4" s="61"/>
      <c r="W4" s="61"/>
      <c r="X4" s="61"/>
      <c r="Y4" s="61"/>
      <c r="Z4" s="61"/>
      <c r="AA4" s="61"/>
    </row>
    <row r="5" spans="1:27" ht="31.2" customHeight="1" thickBot="1" x14ac:dyDescent="0.35">
      <c r="B5" s="60"/>
      <c r="C5" s="57"/>
      <c r="D5" s="61"/>
      <c r="E5" s="61"/>
      <c r="F5" s="61"/>
      <c r="G5" s="61"/>
      <c r="H5" s="61"/>
      <c r="I5" s="68" t="s">
        <v>31</v>
      </c>
      <c r="J5" s="69"/>
      <c r="K5" s="70">
        <v>600</v>
      </c>
      <c r="L5" s="70"/>
      <c r="M5" s="70">
        <v>800</v>
      </c>
      <c r="N5" s="70">
        <v>500</v>
      </c>
      <c r="O5" s="70">
        <v>500</v>
      </c>
      <c r="P5" s="71">
        <f>SUM(J5:O5)</f>
        <v>2400</v>
      </c>
      <c r="Q5" s="61"/>
      <c r="R5" s="61"/>
      <c r="T5" s="60"/>
      <c r="U5" s="57"/>
      <c r="V5" s="61"/>
      <c r="W5" s="61"/>
      <c r="X5" s="61"/>
      <c r="Y5" s="61"/>
      <c r="Z5" s="61"/>
      <c r="AA5" s="61"/>
    </row>
    <row r="7" spans="1:27" ht="15" thickBot="1" x14ac:dyDescent="0.35"/>
    <row r="8" spans="1:27" ht="26.4" customHeight="1" x14ac:dyDescent="0.3">
      <c r="A8" s="47" t="s">
        <v>0</v>
      </c>
      <c r="B8" s="48"/>
      <c r="C8" s="49" t="s">
        <v>1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50"/>
    </row>
    <row r="9" spans="1:27" ht="26.4" customHeight="1" x14ac:dyDescent="0.3">
      <c r="A9" s="1" t="s">
        <v>2</v>
      </c>
      <c r="B9" s="2">
        <f>SUM(B12:B35)</f>
        <v>208.51999999999998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3" t="s">
        <v>13</v>
      </c>
      <c r="N9" s="3" t="s">
        <v>14</v>
      </c>
      <c r="O9" s="3" t="s">
        <v>15</v>
      </c>
      <c r="P9" s="4" t="s">
        <v>16</v>
      </c>
    </row>
    <row r="10" spans="1:27" ht="26.4" customHeight="1" x14ac:dyDescent="0.3">
      <c r="A10" s="1"/>
      <c r="B10" s="5"/>
      <c r="C10" s="6" t="s">
        <v>17</v>
      </c>
      <c r="D10" s="3"/>
      <c r="E10" s="7">
        <f>(E11-D11)/D11</f>
        <v>1.5708699902248286</v>
      </c>
      <c r="F10" s="7">
        <f t="shared" ref="F10:K10" si="1">(F11-E11)/E11</f>
        <v>1.1787072243345959E-2</v>
      </c>
      <c r="G10" s="7">
        <f t="shared" si="1"/>
        <v>-0.35400225479143171</v>
      </c>
      <c r="H10" s="7">
        <f t="shared" si="1"/>
        <v>0.35951134380453748</v>
      </c>
      <c r="I10" s="7">
        <f t="shared" si="1"/>
        <v>1.6089002995293114</v>
      </c>
      <c r="J10" s="7">
        <f t="shared" si="1"/>
        <v>-0.28079383303263916</v>
      </c>
      <c r="K10" s="7">
        <f t="shared" si="1"/>
        <v>-1</v>
      </c>
      <c r="L10" s="7" t="e">
        <f>(L11-K11)/K11</f>
        <v>#DIV/0!</v>
      </c>
      <c r="M10" s="7" t="e">
        <f t="shared" ref="M10:O10" si="2">(M11-L11)/L11</f>
        <v>#DIV/0!</v>
      </c>
      <c r="N10" s="7" t="e">
        <f t="shared" si="2"/>
        <v>#DIV/0!</v>
      </c>
      <c r="O10" s="7" t="e">
        <f t="shared" si="2"/>
        <v>#DIV/0!</v>
      </c>
      <c r="P10" s="4"/>
    </row>
    <row r="11" spans="1:27" ht="28.8" x14ac:dyDescent="0.3">
      <c r="A11" s="1"/>
      <c r="B11" s="5"/>
      <c r="C11" s="8" t="s">
        <v>18</v>
      </c>
      <c r="D11" s="9">
        <f>SUM(D12,D18,D24,D30)</f>
        <v>10.230000000000002</v>
      </c>
      <c r="E11" s="9">
        <f t="shared" ref="E11:J11" si="3">SUM(E12,E18,E24,E30)</f>
        <v>26.3</v>
      </c>
      <c r="F11" s="9">
        <f t="shared" si="3"/>
        <v>26.61</v>
      </c>
      <c r="G11" s="9">
        <f t="shared" si="3"/>
        <v>17.190000000000001</v>
      </c>
      <c r="H11" s="9">
        <f t="shared" si="3"/>
        <v>23.37</v>
      </c>
      <c r="I11" s="9">
        <f t="shared" si="3"/>
        <v>60.970000000000006</v>
      </c>
      <c r="J11" s="9">
        <f t="shared" si="3"/>
        <v>43.849999999999994</v>
      </c>
      <c r="K11" s="10">
        <f>SUM(K12,K18,K24,K30)</f>
        <v>0</v>
      </c>
      <c r="L11" s="11">
        <f>SUM(L12,L18,L24,L30)</f>
        <v>0</v>
      </c>
      <c r="M11" s="12">
        <f t="shared" ref="M11:O11" si="4">SUM(M12,M18,M24,M30)</f>
        <v>0</v>
      </c>
      <c r="N11" s="13">
        <f t="shared" si="4"/>
        <v>0</v>
      </c>
      <c r="O11" s="14">
        <f t="shared" si="4"/>
        <v>0</v>
      </c>
      <c r="P11" s="4"/>
    </row>
    <row r="12" spans="1:27" x14ac:dyDescent="0.3">
      <c r="A12" s="15" t="s">
        <v>19</v>
      </c>
      <c r="B12" s="16">
        <f>P12</f>
        <v>186.86999999999998</v>
      </c>
      <c r="C12" s="17" t="s">
        <v>20</v>
      </c>
      <c r="D12" s="18">
        <f>SUM(D13:D17)</f>
        <v>9.8300000000000018</v>
      </c>
      <c r="E12" s="18">
        <f t="shared" ref="E12:P12" si="5">SUM(E13:E17)</f>
        <v>22.5</v>
      </c>
      <c r="F12" s="18">
        <f t="shared" si="5"/>
        <v>21.85</v>
      </c>
      <c r="G12" s="18">
        <f t="shared" si="5"/>
        <v>16.75</v>
      </c>
      <c r="H12" s="18">
        <f t="shared" si="5"/>
        <v>22.66</v>
      </c>
      <c r="I12" s="18">
        <f t="shared" si="5"/>
        <v>56.6</v>
      </c>
      <c r="J12" s="18">
        <f t="shared" si="5"/>
        <v>36.68</v>
      </c>
      <c r="K12" s="18">
        <f t="shared" si="5"/>
        <v>0</v>
      </c>
      <c r="L12" s="18">
        <f t="shared" si="5"/>
        <v>0</v>
      </c>
      <c r="M12" s="18">
        <f t="shared" si="5"/>
        <v>0</v>
      </c>
      <c r="N12" s="18">
        <f t="shared" si="5"/>
        <v>0</v>
      </c>
      <c r="O12" s="18">
        <f t="shared" si="5"/>
        <v>0</v>
      </c>
      <c r="P12" s="19">
        <f t="shared" si="5"/>
        <v>186.86999999999998</v>
      </c>
    </row>
    <row r="13" spans="1:27" x14ac:dyDescent="0.3">
      <c r="A13" s="15"/>
      <c r="B13" s="16"/>
      <c r="C13" s="20" t="s">
        <v>21</v>
      </c>
      <c r="D13" s="21">
        <v>0.13</v>
      </c>
      <c r="E13" s="21">
        <v>7.15</v>
      </c>
      <c r="F13" s="21">
        <v>2.95</v>
      </c>
      <c r="G13" s="21">
        <v>0.85</v>
      </c>
      <c r="H13" s="21">
        <v>8.3000000000000007</v>
      </c>
      <c r="I13" s="21">
        <v>6.7</v>
      </c>
      <c r="J13" s="21">
        <v>7.6</v>
      </c>
      <c r="K13" s="22"/>
      <c r="L13" s="23"/>
      <c r="M13" s="24"/>
      <c r="N13" s="25"/>
      <c r="O13" s="26"/>
      <c r="P13" s="27">
        <f>SUM(D13:J13)</f>
        <v>33.68</v>
      </c>
    </row>
    <row r="14" spans="1:27" x14ac:dyDescent="0.3">
      <c r="A14" s="15"/>
      <c r="B14" s="16"/>
      <c r="C14" s="20" t="s">
        <v>22</v>
      </c>
      <c r="D14" s="21">
        <v>7.9</v>
      </c>
      <c r="E14" s="21">
        <v>11.4</v>
      </c>
      <c r="F14" s="21">
        <v>13.9</v>
      </c>
      <c r="G14" s="21">
        <v>12.5</v>
      </c>
      <c r="H14" s="21">
        <v>10.66</v>
      </c>
      <c r="I14" s="21">
        <v>37.9</v>
      </c>
      <c r="J14" s="21">
        <v>21.99</v>
      </c>
      <c r="K14" s="22"/>
      <c r="L14" s="23"/>
      <c r="M14" s="24"/>
      <c r="N14" s="25"/>
      <c r="O14" s="26"/>
      <c r="P14" s="27">
        <f>SUM(D14:J14)</f>
        <v>116.24999999999999</v>
      </c>
    </row>
    <row r="15" spans="1:27" x14ac:dyDescent="0.3">
      <c r="A15" s="15"/>
      <c r="B15" s="16"/>
      <c r="C15" s="20" t="s">
        <v>23</v>
      </c>
      <c r="D15" s="21">
        <v>0.8</v>
      </c>
      <c r="E15" s="21">
        <v>0.15</v>
      </c>
      <c r="F15" s="21">
        <v>0</v>
      </c>
      <c r="G15" s="21">
        <v>0</v>
      </c>
      <c r="H15" s="21">
        <v>1.2</v>
      </c>
      <c r="I15" s="21">
        <v>0</v>
      </c>
      <c r="J15" s="21">
        <v>1.99</v>
      </c>
      <c r="K15" s="22"/>
      <c r="L15" s="23"/>
      <c r="M15" s="24"/>
      <c r="N15" s="25"/>
      <c r="O15" s="26"/>
      <c r="P15" s="27">
        <f>SUM(D15:J15)</f>
        <v>4.1399999999999997</v>
      </c>
    </row>
    <row r="16" spans="1:27" x14ac:dyDescent="0.3">
      <c r="A16" s="15"/>
      <c r="B16" s="16"/>
      <c r="C16" s="20" t="s">
        <v>24</v>
      </c>
      <c r="D16" s="21">
        <v>1</v>
      </c>
      <c r="E16" s="21">
        <v>3.8</v>
      </c>
      <c r="F16" s="21">
        <v>4.5</v>
      </c>
      <c r="G16" s="21">
        <v>3.4</v>
      </c>
      <c r="H16" s="21">
        <v>2.5</v>
      </c>
      <c r="I16" s="21">
        <v>8.4</v>
      </c>
      <c r="J16" s="21">
        <v>6.9</v>
      </c>
      <c r="K16" s="22"/>
      <c r="L16" s="23"/>
      <c r="M16" s="24"/>
      <c r="N16" s="25"/>
      <c r="O16" s="26"/>
      <c r="P16" s="27">
        <f>SUM(D16:J16)</f>
        <v>30.5</v>
      </c>
    </row>
    <row r="17" spans="1:16" x14ac:dyDescent="0.3">
      <c r="A17" s="15"/>
      <c r="B17" s="16"/>
      <c r="C17" s="20" t="s">
        <v>25</v>
      </c>
      <c r="D17" s="21">
        <v>0</v>
      </c>
      <c r="E17" s="21">
        <v>0</v>
      </c>
      <c r="F17" s="21">
        <v>0.5</v>
      </c>
      <c r="G17" s="21">
        <v>0</v>
      </c>
      <c r="H17" s="21">
        <v>0</v>
      </c>
      <c r="I17" s="21">
        <v>3.6</v>
      </c>
      <c r="J17" s="21">
        <v>-1.8</v>
      </c>
      <c r="K17" s="22"/>
      <c r="L17" s="23"/>
      <c r="M17" s="24"/>
      <c r="N17" s="25"/>
      <c r="O17" s="26"/>
      <c r="P17" s="27">
        <f t="shared" ref="P17" si="6">SUM(D17:J17)</f>
        <v>2.2999999999999998</v>
      </c>
    </row>
    <row r="18" spans="1:16" x14ac:dyDescent="0.3">
      <c r="A18" s="15" t="s">
        <v>26</v>
      </c>
      <c r="B18" s="16">
        <f>P18</f>
        <v>6.25</v>
      </c>
      <c r="C18" s="17" t="s">
        <v>20</v>
      </c>
      <c r="D18" s="28">
        <f>SUM(D19:D23)</f>
        <v>0</v>
      </c>
      <c r="E18" s="28">
        <f t="shared" ref="E18:P18" si="7">SUM(E19:E23)</f>
        <v>0</v>
      </c>
      <c r="F18" s="28">
        <f t="shared" si="7"/>
        <v>0.57999999999999996</v>
      </c>
      <c r="G18" s="28">
        <f t="shared" si="7"/>
        <v>0</v>
      </c>
      <c r="H18" s="28">
        <f t="shared" si="7"/>
        <v>0</v>
      </c>
      <c r="I18" s="28">
        <f t="shared" si="7"/>
        <v>1.27</v>
      </c>
      <c r="J18" s="28">
        <f t="shared" si="7"/>
        <v>4.4000000000000004</v>
      </c>
      <c r="K18" s="29">
        <f t="shared" si="7"/>
        <v>0</v>
      </c>
      <c r="L18" s="29">
        <f t="shared" si="7"/>
        <v>0</v>
      </c>
      <c r="M18" s="29">
        <f t="shared" si="7"/>
        <v>0</v>
      </c>
      <c r="N18" s="29">
        <f t="shared" si="7"/>
        <v>0</v>
      </c>
      <c r="O18" s="29">
        <f t="shared" si="7"/>
        <v>0</v>
      </c>
      <c r="P18" s="30">
        <f t="shared" si="7"/>
        <v>6.25</v>
      </c>
    </row>
    <row r="19" spans="1:16" x14ac:dyDescent="0.3">
      <c r="A19" s="15"/>
      <c r="B19" s="16"/>
      <c r="C19" s="20" t="s">
        <v>21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1</v>
      </c>
      <c r="K19" s="22"/>
      <c r="L19" s="23"/>
      <c r="M19" s="24"/>
      <c r="N19" s="25"/>
      <c r="O19" s="26"/>
      <c r="P19" s="27">
        <f t="shared" ref="P19:P21" si="8">SUM(D19:J19)</f>
        <v>1</v>
      </c>
    </row>
    <row r="20" spans="1:16" x14ac:dyDescent="0.3">
      <c r="A20" s="15"/>
      <c r="B20" s="16"/>
      <c r="C20" s="20" t="s">
        <v>22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0.33</v>
      </c>
      <c r="J20" s="21">
        <v>0.8</v>
      </c>
      <c r="K20" s="22"/>
      <c r="L20" s="23"/>
      <c r="M20" s="24"/>
      <c r="N20" s="25"/>
      <c r="O20" s="26"/>
      <c r="P20" s="27">
        <f t="shared" si="8"/>
        <v>1.1300000000000001</v>
      </c>
    </row>
    <row r="21" spans="1:16" x14ac:dyDescent="0.3">
      <c r="A21" s="15"/>
      <c r="B21" s="16"/>
      <c r="C21" s="20" t="s">
        <v>23</v>
      </c>
      <c r="D21" s="21">
        <v>0</v>
      </c>
      <c r="E21" s="21">
        <v>0</v>
      </c>
      <c r="F21" s="31">
        <v>0</v>
      </c>
      <c r="G21" s="21">
        <v>0</v>
      </c>
      <c r="H21" s="21">
        <v>0</v>
      </c>
      <c r="I21" s="21">
        <v>0.67</v>
      </c>
      <c r="J21" s="21">
        <v>2.6</v>
      </c>
      <c r="K21" s="22"/>
      <c r="L21" s="23"/>
      <c r="M21" s="24"/>
      <c r="N21" s="25"/>
      <c r="O21" s="26"/>
      <c r="P21" s="27">
        <f t="shared" si="8"/>
        <v>3.27</v>
      </c>
    </row>
    <row r="22" spans="1:16" x14ac:dyDescent="0.3">
      <c r="A22" s="15"/>
      <c r="B22" s="16"/>
      <c r="C22" s="20" t="s">
        <v>24</v>
      </c>
      <c r="D22" s="21">
        <v>0</v>
      </c>
      <c r="E22" s="21">
        <v>0</v>
      </c>
      <c r="F22" s="21">
        <v>0.57999999999999996</v>
      </c>
      <c r="G22" s="21">
        <v>0</v>
      </c>
      <c r="H22" s="21">
        <v>0</v>
      </c>
      <c r="I22" s="21">
        <v>0.27</v>
      </c>
      <c r="J22" s="21">
        <v>0</v>
      </c>
      <c r="K22" s="22"/>
      <c r="L22" s="23"/>
      <c r="M22" s="24"/>
      <c r="N22" s="25"/>
      <c r="O22" s="26"/>
      <c r="P22" s="27">
        <f>SUM(D22:K22)</f>
        <v>0.85</v>
      </c>
    </row>
    <row r="23" spans="1:16" x14ac:dyDescent="0.3">
      <c r="A23" s="15"/>
      <c r="B23" s="16"/>
      <c r="C23" s="20" t="s">
        <v>25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2"/>
      <c r="L23" s="23"/>
      <c r="M23" s="24"/>
      <c r="N23" s="25"/>
      <c r="O23" s="26"/>
      <c r="P23" s="27">
        <f>SUM(D23:K23)</f>
        <v>0</v>
      </c>
    </row>
    <row r="24" spans="1:16" x14ac:dyDescent="0.3">
      <c r="A24" s="15" t="s">
        <v>27</v>
      </c>
      <c r="B24" s="16">
        <f>P24</f>
        <v>4.8900000000000006</v>
      </c>
      <c r="C24" s="17" t="s">
        <v>20</v>
      </c>
      <c r="D24" s="28">
        <f>SUM(D25:D29)</f>
        <v>0</v>
      </c>
      <c r="E24" s="28">
        <f t="shared" ref="E24:P24" si="9">SUM(E25:E29)</f>
        <v>0.5</v>
      </c>
      <c r="F24" s="28">
        <f t="shared" si="9"/>
        <v>1.89</v>
      </c>
      <c r="G24" s="28">
        <f t="shared" si="9"/>
        <v>0</v>
      </c>
      <c r="H24" s="28">
        <f t="shared" si="9"/>
        <v>0</v>
      </c>
      <c r="I24" s="28">
        <f t="shared" si="9"/>
        <v>1.1000000000000001</v>
      </c>
      <c r="J24" s="28">
        <f t="shared" si="9"/>
        <v>1.4</v>
      </c>
      <c r="K24" s="29">
        <f t="shared" si="9"/>
        <v>0</v>
      </c>
      <c r="L24" s="29">
        <f t="shared" si="9"/>
        <v>0</v>
      </c>
      <c r="M24" s="29">
        <f t="shared" si="9"/>
        <v>0</v>
      </c>
      <c r="N24" s="29">
        <f t="shared" si="9"/>
        <v>0</v>
      </c>
      <c r="O24" s="29">
        <f t="shared" si="9"/>
        <v>0</v>
      </c>
      <c r="P24" s="30">
        <f t="shared" si="9"/>
        <v>4.8900000000000006</v>
      </c>
    </row>
    <row r="25" spans="1:16" x14ac:dyDescent="0.3">
      <c r="A25" s="15"/>
      <c r="B25" s="16"/>
      <c r="C25" s="20" t="s">
        <v>21</v>
      </c>
      <c r="D25" s="21">
        <v>0</v>
      </c>
      <c r="E25" s="21">
        <v>0</v>
      </c>
      <c r="F25" s="21">
        <v>1.2</v>
      </c>
      <c r="G25" s="21">
        <v>0</v>
      </c>
      <c r="H25" s="21">
        <v>0</v>
      </c>
      <c r="I25" s="21">
        <v>0</v>
      </c>
      <c r="J25" s="21">
        <v>0</v>
      </c>
      <c r="K25" s="22"/>
      <c r="L25" s="23"/>
      <c r="M25" s="24"/>
      <c r="N25" s="25"/>
      <c r="O25" s="26"/>
      <c r="P25" s="27">
        <f t="shared" ref="P25:P29" si="10">SUM(D25:J25)</f>
        <v>1.2</v>
      </c>
    </row>
    <row r="26" spans="1:16" x14ac:dyDescent="0.3">
      <c r="A26" s="15"/>
      <c r="B26" s="16"/>
      <c r="C26" s="20" t="s">
        <v>22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0.9</v>
      </c>
      <c r="K26" s="22"/>
      <c r="L26" s="23"/>
      <c r="M26" s="24"/>
      <c r="N26" s="25"/>
      <c r="O26" s="26"/>
      <c r="P26" s="27">
        <f t="shared" si="10"/>
        <v>0.9</v>
      </c>
    </row>
    <row r="27" spans="1:16" x14ac:dyDescent="0.3">
      <c r="A27" s="15"/>
      <c r="B27" s="16"/>
      <c r="C27" s="20" t="s">
        <v>23</v>
      </c>
      <c r="D27" s="21">
        <v>0</v>
      </c>
      <c r="E27" s="21">
        <v>0</v>
      </c>
      <c r="F27" s="21">
        <v>0.39</v>
      </c>
      <c r="G27" s="21">
        <v>0</v>
      </c>
      <c r="H27" s="21">
        <v>0</v>
      </c>
      <c r="I27" s="21">
        <v>0</v>
      </c>
      <c r="J27" s="21">
        <v>0</v>
      </c>
      <c r="K27" s="22"/>
      <c r="L27" s="23"/>
      <c r="M27" s="24"/>
      <c r="N27" s="25"/>
      <c r="O27" s="26"/>
      <c r="P27" s="27">
        <f t="shared" si="10"/>
        <v>0.39</v>
      </c>
    </row>
    <row r="28" spans="1:16" x14ac:dyDescent="0.3">
      <c r="A28" s="15"/>
      <c r="B28" s="16"/>
      <c r="C28" s="20" t="s">
        <v>24</v>
      </c>
      <c r="D28" s="21">
        <v>0</v>
      </c>
      <c r="E28" s="21">
        <v>0.5</v>
      </c>
      <c r="F28" s="21">
        <v>0.3</v>
      </c>
      <c r="G28" s="21">
        <v>0</v>
      </c>
      <c r="H28" s="21">
        <v>0</v>
      </c>
      <c r="I28" s="21">
        <v>0.4</v>
      </c>
      <c r="J28" s="21">
        <v>0.5</v>
      </c>
      <c r="K28" s="22"/>
      <c r="L28" s="23"/>
      <c r="M28" s="24"/>
      <c r="N28" s="25"/>
      <c r="O28" s="26"/>
      <c r="P28" s="27">
        <f t="shared" si="10"/>
        <v>1.7000000000000002</v>
      </c>
    </row>
    <row r="29" spans="1:16" x14ac:dyDescent="0.3">
      <c r="A29" s="15"/>
      <c r="B29" s="16"/>
      <c r="C29" s="20" t="s">
        <v>25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0.7</v>
      </c>
      <c r="J29" s="21">
        <v>0</v>
      </c>
      <c r="K29" s="22"/>
      <c r="L29" s="23"/>
      <c r="M29" s="24"/>
      <c r="N29" s="25"/>
      <c r="O29" s="26"/>
      <c r="P29" s="27">
        <f t="shared" si="10"/>
        <v>0.7</v>
      </c>
    </row>
    <row r="30" spans="1:16" x14ac:dyDescent="0.3">
      <c r="A30" s="15" t="s">
        <v>28</v>
      </c>
      <c r="B30" s="16">
        <f>P30</f>
        <v>10.51</v>
      </c>
      <c r="C30" s="17" t="s">
        <v>20</v>
      </c>
      <c r="D30" s="28">
        <f>SUM(D31:D35)</f>
        <v>0.4</v>
      </c>
      <c r="E30" s="28">
        <f t="shared" ref="E30:P30" si="11">SUM(E31:E35)</f>
        <v>3.3</v>
      </c>
      <c r="F30" s="28">
        <f t="shared" si="11"/>
        <v>2.29</v>
      </c>
      <c r="G30" s="28">
        <f t="shared" si="11"/>
        <v>0.44</v>
      </c>
      <c r="H30" s="28">
        <f t="shared" si="11"/>
        <v>0.71</v>
      </c>
      <c r="I30" s="28">
        <f t="shared" si="11"/>
        <v>2</v>
      </c>
      <c r="J30" s="28">
        <f t="shared" si="11"/>
        <v>1.3699999999999999</v>
      </c>
      <c r="K30" s="29">
        <f t="shared" si="11"/>
        <v>0</v>
      </c>
      <c r="L30" s="29">
        <f t="shared" si="11"/>
        <v>0</v>
      </c>
      <c r="M30" s="29">
        <f t="shared" si="11"/>
        <v>0</v>
      </c>
      <c r="N30" s="29">
        <f t="shared" si="11"/>
        <v>0</v>
      </c>
      <c r="O30" s="29">
        <f t="shared" si="11"/>
        <v>0</v>
      </c>
      <c r="P30" s="30">
        <f t="shared" si="11"/>
        <v>10.51</v>
      </c>
    </row>
    <row r="31" spans="1:16" x14ac:dyDescent="0.3">
      <c r="A31" s="15"/>
      <c r="B31" s="16"/>
      <c r="C31" s="20" t="s">
        <v>21</v>
      </c>
      <c r="D31" s="32">
        <v>0</v>
      </c>
      <c r="E31" s="32">
        <v>0</v>
      </c>
      <c r="F31" s="32">
        <v>0.94</v>
      </c>
      <c r="G31" s="32">
        <v>0.31</v>
      </c>
      <c r="H31" s="32">
        <v>0.4</v>
      </c>
      <c r="I31" s="32">
        <v>0</v>
      </c>
      <c r="J31" s="32">
        <v>0.17</v>
      </c>
      <c r="K31" s="22"/>
      <c r="L31" s="33"/>
      <c r="M31" s="34"/>
      <c r="N31" s="35"/>
      <c r="O31" s="36"/>
      <c r="P31" s="27">
        <f t="shared" ref="P31:P32" si="12">SUM(D31:J31)</f>
        <v>1.8199999999999998</v>
      </c>
    </row>
    <row r="32" spans="1:16" x14ac:dyDescent="0.3">
      <c r="A32" s="15"/>
      <c r="B32" s="16"/>
      <c r="C32" s="20" t="s">
        <v>22</v>
      </c>
      <c r="D32" s="32">
        <v>0.4</v>
      </c>
      <c r="E32" s="32">
        <v>3.3</v>
      </c>
      <c r="F32" s="32">
        <v>1.35</v>
      </c>
      <c r="G32" s="32">
        <v>0.13</v>
      </c>
      <c r="H32" s="32">
        <v>0.13</v>
      </c>
      <c r="I32" s="32">
        <v>2</v>
      </c>
      <c r="J32" s="32">
        <v>1.2</v>
      </c>
      <c r="K32" s="22"/>
      <c r="L32" s="33"/>
      <c r="M32" s="34"/>
      <c r="N32" s="35"/>
      <c r="O32" s="36"/>
      <c r="P32" s="27">
        <f t="shared" si="12"/>
        <v>8.51</v>
      </c>
    </row>
    <row r="33" spans="1:16" x14ac:dyDescent="0.3">
      <c r="A33" s="15"/>
      <c r="B33" s="16"/>
      <c r="C33" s="20" t="s">
        <v>23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22"/>
      <c r="L33" s="33"/>
      <c r="M33" s="34"/>
      <c r="N33" s="35"/>
      <c r="O33" s="36"/>
      <c r="P33" s="27">
        <f>SUM(D33:K33)</f>
        <v>0</v>
      </c>
    </row>
    <row r="34" spans="1:16" x14ac:dyDescent="0.3">
      <c r="A34" s="15"/>
      <c r="B34" s="16"/>
      <c r="C34" s="20" t="s">
        <v>24</v>
      </c>
      <c r="D34" s="32">
        <v>0</v>
      </c>
      <c r="E34" s="32">
        <v>0</v>
      </c>
      <c r="F34" s="32">
        <v>0</v>
      </c>
      <c r="G34" s="32">
        <v>0</v>
      </c>
      <c r="H34" s="32">
        <v>0.18</v>
      </c>
      <c r="I34" s="32">
        <v>0</v>
      </c>
      <c r="J34" s="32">
        <v>0</v>
      </c>
      <c r="K34" s="22"/>
      <c r="L34" s="33"/>
      <c r="M34" s="34"/>
      <c r="N34" s="35"/>
      <c r="O34" s="36"/>
      <c r="P34" s="27">
        <f t="shared" ref="P34:P35" si="13">SUM(D34:J34)</f>
        <v>0.18</v>
      </c>
    </row>
    <row r="35" spans="1:16" ht="15" thickBot="1" x14ac:dyDescent="0.35">
      <c r="A35" s="37"/>
      <c r="B35" s="38"/>
      <c r="C35" s="39" t="s">
        <v>25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1"/>
      <c r="L35" s="42"/>
      <c r="M35" s="43"/>
      <c r="N35" s="44"/>
      <c r="O35" s="45"/>
      <c r="P35" s="46">
        <f t="shared" si="13"/>
        <v>0</v>
      </c>
    </row>
  </sheetData>
  <mergeCells count="11">
    <mergeCell ref="I2:P2"/>
    <mergeCell ref="A24:A29"/>
    <mergeCell ref="B24:B29"/>
    <mergeCell ref="A30:A35"/>
    <mergeCell ref="B30:B35"/>
    <mergeCell ref="A8:B8"/>
    <mergeCell ref="C8:P8"/>
    <mergeCell ref="A12:A17"/>
    <mergeCell ref="B12:B17"/>
    <mergeCell ref="A18:A23"/>
    <mergeCell ref="B18:B23"/>
  </mergeCells>
  <conditionalFormatting sqref="B2">
    <cfRule type="duplicateValues" dxfId="5" priority="4"/>
  </conditionalFormatting>
  <conditionalFormatting sqref="T2">
    <cfRule type="duplicateValues" dxfId="3" priority="2"/>
  </conditionalFormatting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HOPLONG</dc:creator>
  <cp:lastModifiedBy>HOPLONG</cp:lastModifiedBy>
  <dcterms:created xsi:type="dcterms:W3CDTF">2020-08-11T15:20:24Z</dcterms:created>
  <dcterms:modified xsi:type="dcterms:W3CDTF">2020-08-11T15:28:22Z</dcterms:modified>
</cp:coreProperties>
</file>
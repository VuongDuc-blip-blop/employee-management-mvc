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LONG\Desktop\"/>
    </mc:Choice>
  </mc:AlternateContent>
  <xr:revisionPtr revIDLastSave="0" documentId="13_ncr:1_{DCDC3795-7442-43A1-BB7D-DEBACEDE64C4}" xr6:coauthVersionLast="45" xr6:coauthVersionMax="45" xr10:uidLastSave="{00000000-0000-0000-0000-000000000000}"/>
  <bookViews>
    <workbookView xWindow="-108" yWindow="-108" windowWidth="23256" windowHeight="12576" xr2:uid="{21741E73-CCEA-4B1D-92D8-D19E0333E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8" i="1" l="1"/>
  <c r="P27" i="1"/>
  <c r="P26" i="1"/>
  <c r="P23" i="1" s="1"/>
  <c r="B23" i="1" s="1"/>
  <c r="P25" i="1"/>
  <c r="P24" i="1"/>
  <c r="O23" i="1"/>
  <c r="N23" i="1"/>
  <c r="M23" i="1"/>
  <c r="L23" i="1"/>
  <c r="K23" i="1"/>
  <c r="J23" i="1"/>
  <c r="I23" i="1"/>
  <c r="H23" i="1"/>
  <c r="G23" i="1"/>
  <c r="F23" i="1"/>
  <c r="E23" i="1"/>
  <c r="D23" i="1"/>
  <c r="P22" i="1"/>
  <c r="P21" i="1"/>
  <c r="P20" i="1"/>
  <c r="P19" i="1"/>
  <c r="P18" i="1"/>
  <c r="O17" i="1"/>
  <c r="N17" i="1"/>
  <c r="M17" i="1"/>
  <c r="L17" i="1"/>
  <c r="K17" i="1"/>
  <c r="J17" i="1"/>
  <c r="I17" i="1"/>
  <c r="H17" i="1"/>
  <c r="G17" i="1"/>
  <c r="F17" i="1"/>
  <c r="E17" i="1"/>
  <c r="D17" i="1"/>
  <c r="P16" i="1"/>
  <c r="P15" i="1"/>
  <c r="P14" i="1"/>
  <c r="P13" i="1"/>
  <c r="P12" i="1"/>
  <c r="O11" i="1"/>
  <c r="N11" i="1"/>
  <c r="M11" i="1"/>
  <c r="M4" i="1" s="1"/>
  <c r="L11" i="1"/>
  <c r="K11" i="1"/>
  <c r="J11" i="1"/>
  <c r="I11" i="1"/>
  <c r="H11" i="1"/>
  <c r="G11" i="1"/>
  <c r="F11" i="1"/>
  <c r="E11" i="1"/>
  <c r="D11" i="1"/>
  <c r="P10" i="1"/>
  <c r="P9" i="1"/>
  <c r="P8" i="1"/>
  <c r="P7" i="1"/>
  <c r="P6" i="1"/>
  <c r="O5" i="1"/>
  <c r="N5" i="1"/>
  <c r="N4" i="1" s="1"/>
  <c r="M5" i="1"/>
  <c r="L5" i="1"/>
  <c r="K5" i="1"/>
  <c r="J5" i="1"/>
  <c r="J4" i="1" s="1"/>
  <c r="I5" i="1"/>
  <c r="H5" i="1"/>
  <c r="G5" i="1"/>
  <c r="F5" i="1"/>
  <c r="F4" i="1" s="1"/>
  <c r="E5" i="1"/>
  <c r="D5" i="1"/>
  <c r="I4" i="1" l="1"/>
  <c r="G4" i="1"/>
  <c r="G3" i="1" s="1"/>
  <c r="O4" i="1"/>
  <c r="O3" i="1" s="1"/>
  <c r="K4" i="1"/>
  <c r="P17" i="1"/>
  <c r="B17" i="1" s="1"/>
  <c r="E4" i="1"/>
  <c r="F3" i="1"/>
  <c r="N3" i="1"/>
  <c r="K3" i="1"/>
  <c r="P11" i="1"/>
  <c r="B11" i="1" s="1"/>
  <c r="B2" i="1" s="1"/>
  <c r="D4" i="1"/>
  <c r="E3" i="1" s="1"/>
  <c r="L4" i="1"/>
  <c r="L3" i="1" s="1"/>
  <c r="H4" i="1"/>
  <c r="P5" i="1"/>
  <c r="B5" i="1" s="1"/>
  <c r="J3" i="1"/>
  <c r="H3" i="1" l="1"/>
  <c r="M3" i="1"/>
  <c r="I3" i="1"/>
</calcChain>
</file>

<file path=xl/sharedStrings.xml><?xml version="1.0" encoding="utf-8"?>
<sst xmlns="http://schemas.openxmlformats.org/spreadsheetml/2006/main" count="47" uniqueCount="29">
  <si>
    <t>Tổng cty
(7 tháng)</t>
  </si>
  <si>
    <t>DS Taiwan Meters theo tháng - năm 2020 (đơn vị triệu đồng)</t>
  </si>
  <si>
    <t>Chi nhánh</t>
  </si>
  <si>
    <t>Kênh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</si>
  <si>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</si>
  <si>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</si>
  <si>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</si>
  <si>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</si>
  <si>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</si>
  <si>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</si>
  <si>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</si>
  <si>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</si>
  <si>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</si>
  <si>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</si>
  <si>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</si>
  <si>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</si>
  <si>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Tổng</t>
  </si>
  <si>
    <t>Tăng trưởng</t>
  </si>
  <si>
    <t>Tổng cty
(tháng)</t>
  </si>
  <si>
    <t>Hà Nội</t>
  </si>
  <si>
    <t>Tổng CN</t>
  </si>
  <si>
    <t>TM</t>
  </si>
  <si>
    <t>Tủ điện</t>
  </si>
  <si>
    <t>OEM</t>
  </si>
  <si>
    <t xml:space="preserve">EU </t>
  </si>
  <si>
    <t>Khác</t>
  </si>
  <si>
    <t>HCM</t>
  </si>
  <si>
    <t>HP</t>
  </si>
  <si>
    <t>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</si>
</sst>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2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3" fontId="2" fillId="8" borderId="1" xfId="0" applyNumberFormat="1" applyFont="1" applyFill="1" applyBorder="1" applyAlignment="1">
      <alignment horizontal="right" vertical="center"/>
    </xf>
    <xf numFmtId="3" fontId="2" fillId="8" borderId="3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3" fontId="0" fillId="6" borderId="1" xfId="0" applyNumberFormat="1" applyFill="1" applyBorder="1" applyAlignment="1">
      <alignment vertical="center"/>
    </xf>
    <xf numFmtId="3" fontId="0" fillId="7" borderId="1" xfId="0" applyNumberFormat="1" applyFill="1" applyBorder="1" applyAlignment="1">
      <alignment vertical="center"/>
    </xf>
    <xf numFmtId="3" fontId="0" fillId="0" borderId="3" xfId="0" applyNumberFormat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vertical="center"/>
    </xf>
    <xf numFmtId="3" fontId="2" fillId="8" borderId="3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1" fontId="0" fillId="4" borderId="1" xfId="0" applyNumberFormat="1" applyFill="1" applyBorder="1"/>
    <xf numFmtId="1" fontId="0" fillId="5" borderId="1" xfId="0" applyNumberFormat="1" applyFill="1" applyBorder="1" applyAlignment="1">
      <alignment vertical="center"/>
    </xf>
    <xf numFmtId="1" fontId="0" fillId="6" borderId="1" xfId="0" applyNumberFormat="1" applyFill="1" applyBorder="1"/>
    <xf numFmtId="1" fontId="0" fillId="7" borderId="1" xfId="0" applyNumberFormat="1" applyFill="1" applyBorder="1"/>
    <xf numFmtId="0" fontId="0" fillId="0" borderId="5" xfId="0" applyBorder="1" applyAlignment="1">
      <alignment vertical="center"/>
    </xf>
    <xf numFmtId="164" fontId="0" fillId="0" borderId="5" xfId="0" applyNumberFormat="1" applyBorder="1"/>
    <xf numFmtId="3" fontId="0" fillId="3" borderId="5" xfId="0" applyNumberFormat="1" applyFill="1" applyBorder="1" applyAlignment="1">
      <alignment vertical="center"/>
    </xf>
    <xf numFmtId="1" fontId="0" fillId="4" borderId="5" xfId="0" applyNumberFormat="1" applyFill="1" applyBorder="1"/>
    <xf numFmtId="1" fontId="0" fillId="5" borderId="5" xfId="0" applyNumberFormat="1" applyFill="1" applyBorder="1" applyAlignment="1">
      <alignment vertical="center"/>
    </xf>
    <xf numFmtId="1" fontId="0" fillId="6" borderId="5" xfId="0" applyNumberFormat="1" applyFill="1" applyBorder="1"/>
    <xf numFmtId="1" fontId="0" fillId="7" borderId="5" xfId="0" applyNumberFormat="1" applyFill="1" applyBorder="1"/>
    <xf numFmtId="3" fontId="0" fillId="0" borderId="6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AC4F-80E4-4857-88FB-15A6AAE0B7AF}">
  <dimension ref="A1:P28"/>
  <sheetViews>
    <sheetView tabSelected="1" workbookViewId="0">
      <selection activeCell="I8" sqref="I8"/>
    </sheetView>
  </sheetViews>
  <sheetFormatPr defaultRowHeight="14.4" x14ac:dyDescent="0.3"/>
  <sheetData>
    <row r="1" spans="1:16" ht="26.4" customHeight="1" x14ac:dyDescent="0.3">
      <c r="A1" s="47" t="s">
        <v>0</v>
      </c>
      <c r="B1" s="48"/>
      <c r="C1" s="49" t="s">
        <v>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26.4" customHeight="1" x14ac:dyDescent="0.3">
      <c r="A2" s="1" t="s">
        <v>2</v>
      </c>
      <c r="B2" s="2">
        <f>SUM(B5:B28)</f>
        <v>208.51999999999998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</row>
    <row r="3" spans="1:16" ht="26.4" customHeight="1" x14ac:dyDescent="0.3">
      <c r="A3" s="1"/>
      <c r="B3" s="5"/>
      <c r="C3" s="6" t="s">
        <v>17</v>
      </c>
      <c r="D3" s="3"/>
      <c r="E3" s="7">
        <f>(E4-D4)/D4</f>
        <v>1.5708699902248286</v>
      </c>
      <c r="F3" s="7">
        <f t="shared" ref="F3:K3" si="0">(F4-E4)/E4</f>
        <v>1.1787072243345959E-2</v>
      </c>
      <c r="G3" s="7">
        <f t="shared" si="0"/>
        <v>-0.35400225479143171</v>
      </c>
      <c r="H3" s="7">
        <f t="shared" si="0"/>
        <v>0.35951134380453748</v>
      </c>
      <c r="I3" s="7">
        <f t="shared" si="0"/>
        <v>1.6089002995293114</v>
      </c>
      <c r="J3" s="7">
        <f t="shared" si="0"/>
        <v>-0.28079383303263916</v>
      </c>
      <c r="K3" s="7">
        <f t="shared" si="0"/>
        <v>-1</v>
      </c>
      <c r="L3" s="7" t="e">
        <f>(L4-K4)/K4</f>
        <v>#DIV/0!</v>
      </c>
      <c r="M3" s="7" t="e">
        <f t="shared" ref="M3:O3" si="1">(M4-L4)/L4</f>
        <v>#DIV/0!</v>
      </c>
      <c r="N3" s="7" t="e">
        <f t="shared" si="1"/>
        <v>#DIV/0!</v>
      </c>
      <c r="O3" s="7" t="e">
        <f t="shared" si="1"/>
        <v>#DIV/0!</v>
      </c>
      <c r="P3" s="4"/>
    </row>
    <row r="4" spans="1:16" ht="28.8" x14ac:dyDescent="0.3">
      <c r="A4" s="1"/>
      <c r="B4" s="5"/>
      <c r="C4" s="8" t="s">
        <v>18</v>
      </c>
      <c r="D4" s="9">
        <f>SUM(D5,D11,D17,D23)</f>
        <v>10.230000000000002</v>
      </c>
      <c r="E4" s="9">
        <f t="shared" ref="E4:J4" si="2">SUM(E5,E11,E17,E23)</f>
        <v>26.3</v>
      </c>
      <c r="F4" s="9">
        <f t="shared" si="2"/>
        <v>26.61</v>
      </c>
      <c r="G4" s="9">
        <f t="shared" si="2"/>
        <v>17.190000000000001</v>
      </c>
      <c r="H4" s="9">
        <f t="shared" si="2"/>
        <v>23.37</v>
      </c>
      <c r="I4" s="9">
        <f t="shared" si="2"/>
        <v>60.970000000000006</v>
      </c>
      <c r="J4" s="9">
        <f t="shared" si="2"/>
        <v>43.849999999999994</v>
      </c>
      <c r="K4" s="10">
        <f>SUM(K5,K11,K17,K23)</f>
        <v>0</v>
      </c>
      <c r="L4" s="11">
        <f>SUM(L5,L11,L17,L23)</f>
        <v>0</v>
      </c>
      <c r="M4" s="12">
        <f t="shared" ref="M4:O4" si="3">SUM(M5,M11,M17,M23)</f>
        <v>0</v>
      </c>
      <c r="N4" s="13">
        <f t="shared" si="3"/>
        <v>0</v>
      </c>
      <c r="O4" s="14">
        <f t="shared" si="3"/>
        <v>0</v>
      </c>
      <c r="P4" s="4"/>
    </row>
    <row r="5" spans="1:16" x14ac:dyDescent="0.3">
      <c r="A5" s="43" t="s">
        <v>19</v>
      </c>
      <c r="B5" s="44">
        <f>P5</f>
        <v>186.86999999999998</v>
      </c>
      <c r="C5" s="15" t="s">
        <v>20</v>
      </c>
      <c r="D5" s="16">
        <f>SUM(D6:D10)</f>
        <v>9.8300000000000018</v>
      </c>
      <c r="E5" s="16">
        <f t="shared" ref="E5:P5" si="4">SUM(E6:E10)</f>
        <v>22.5</v>
      </c>
      <c r="F5" s="16">
        <f t="shared" si="4"/>
        <v>21.85</v>
      </c>
      <c r="G5" s="16">
        <f t="shared" si="4"/>
        <v>16.75</v>
      </c>
      <c r="H5" s="16">
        <f t="shared" si="4"/>
        <v>22.66</v>
      </c>
      <c r="I5" s="16">
        <f t="shared" si="4"/>
        <v>56.6</v>
      </c>
      <c r="J5" s="16">
        <f t="shared" si="4"/>
        <v>36.68</v>
      </c>
      <c r="K5" s="16">
        <f t="shared" si="4"/>
        <v>0</v>
      </c>
      <c r="L5" s="16">
        <f t="shared" si="4"/>
        <v>0</v>
      </c>
      <c r="M5" s="16">
        <f t="shared" si="4"/>
        <v>0</v>
      </c>
      <c r="N5" s="16">
        <f t="shared" si="4"/>
        <v>0</v>
      </c>
      <c r="O5" s="16">
        <f t="shared" si="4"/>
        <v>0</v>
      </c>
      <c r="P5" s="17">
        <f t="shared" si="4"/>
        <v>186.86999999999998</v>
      </c>
    </row>
    <row r="6" spans="1:16" x14ac:dyDescent="0.3">
      <c r="A6" s="43"/>
      <c r="B6" s="44"/>
      <c r="C6" s="18" t="s">
        <v>21</v>
      </c>
      <c r="D6" s="19">
        <v>0.13</v>
      </c>
      <c r="E6" s="19">
        <v>7.15</v>
      </c>
      <c r="F6" s="19">
        <v>2.95</v>
      </c>
      <c r="G6" s="19">
        <v>0.85</v>
      </c>
      <c r="H6" s="19">
        <v>8.3000000000000007</v>
      </c>
      <c r="I6" s="19">
        <v>6.7</v>
      </c>
      <c r="J6" s="19">
        <v>7.6</v>
      </c>
      <c r="K6" s="20"/>
      <c r="L6" s="21"/>
      <c r="M6" s="22"/>
      <c r="N6" s="23"/>
      <c r="O6" s="24"/>
      <c r="P6" s="25">
        <f>SUM(D6:J6)</f>
        <v>33.68</v>
      </c>
    </row>
    <row r="7" spans="1:16" x14ac:dyDescent="0.3">
      <c r="A7" s="43"/>
      <c r="B7" s="44"/>
      <c r="C7" s="18" t="s">
        <v>22</v>
      </c>
      <c r="D7" s="19">
        <v>7.9</v>
      </c>
      <c r="E7" s="19">
        <v>11.4</v>
      </c>
      <c r="F7" s="19">
        <v>13.9</v>
      </c>
      <c r="G7" s="19">
        <v>12.5</v>
      </c>
      <c r="H7" s="19">
        <v>10.66</v>
      </c>
      <c r="I7" s="19">
        <v>37.9</v>
      </c>
      <c r="J7" s="19">
        <v>21.99</v>
      </c>
      <c r="K7" s="20"/>
      <c r="L7" s="21"/>
      <c r="M7" s="22"/>
      <c r="N7" s="23"/>
      <c r="O7" s="24"/>
      <c r="P7" s="25">
        <f>SUM(D7:J7)</f>
        <v>116.24999999999999</v>
      </c>
    </row>
    <row r="8" spans="1:16" x14ac:dyDescent="0.3">
      <c r="A8" s="43"/>
      <c r="B8" s="44"/>
      <c r="C8" s="18" t="s">
        <v>23</v>
      </c>
      <c r="D8" s="19">
        <v>0.8</v>
      </c>
      <c r="E8" s="19">
        <v>0.15</v>
      </c>
      <c r="F8" s="19">
        <v>0</v>
      </c>
      <c r="G8" s="19">
        <v>0</v>
      </c>
      <c r="H8" s="19">
        <v>1.2</v>
      </c>
      <c r="I8" s="19">
        <v>0</v>
      </c>
      <c r="J8" s="19">
        <v>1.99</v>
      </c>
      <c r="K8" s="20"/>
      <c r="L8" s="21"/>
      <c r="M8" s="22"/>
      <c r="N8" s="23"/>
      <c r="O8" s="24"/>
      <c r="P8" s="25">
        <f>SUM(D8:J8)</f>
        <v>4.1399999999999997</v>
      </c>
    </row>
    <row r="9" spans="1:16" x14ac:dyDescent="0.3">
      <c r="A9" s="43"/>
      <c r="B9" s="44"/>
      <c r="C9" s="18" t="s">
        <v>24</v>
      </c>
      <c r="D9" s="19">
        <v>1</v>
      </c>
      <c r="E9" s="19">
        <v>3.8</v>
      </c>
      <c r="F9" s="19">
        <v>4.5</v>
      </c>
      <c r="G9" s="19">
        <v>3.4</v>
      </c>
      <c r="H9" s="19">
        <v>2.5</v>
      </c>
      <c r="I9" s="19">
        <v>8.4</v>
      </c>
      <c r="J9" s="19">
        <v>6.9</v>
      </c>
      <c r="K9" s="20"/>
      <c r="L9" s="21"/>
      <c r="M9" s="22"/>
      <c r="N9" s="23"/>
      <c r="O9" s="24"/>
      <c r="P9" s="25">
        <f>SUM(D9:J9)</f>
        <v>30.5</v>
      </c>
    </row>
    <row r="10" spans="1:16" x14ac:dyDescent="0.3">
      <c r="A10" s="43"/>
      <c r="B10" s="44"/>
      <c r="C10" s="18" t="s">
        <v>25</v>
      </c>
      <c r="D10" s="19">
        <v>0</v>
      </c>
      <c r="E10" s="19">
        <v>0</v>
      </c>
      <c r="F10" s="19">
        <v>0.5</v>
      </c>
      <c r="G10" s="19">
        <v>0</v>
      </c>
      <c r="H10" s="19">
        <v>0</v>
      </c>
      <c r="I10" s="19">
        <v>3.6</v>
      </c>
      <c r="J10" s="19">
        <v>-1.8</v>
      </c>
      <c r="K10" s="20"/>
      <c r="L10" s="21"/>
      <c r="M10" s="22"/>
      <c r="N10" s="23"/>
      <c r="O10" s="24"/>
      <c r="P10" s="25">
        <f t="shared" ref="P10" si="5">SUM(D10:J10)</f>
        <v>2.2999999999999998</v>
      </c>
    </row>
    <row r="11" spans="1:16" x14ac:dyDescent="0.3">
      <c r="A11" s="43" t="s">
        <v>26</v>
      </c>
      <c r="B11" s="44">
        <f>P11</f>
        <v>6.25</v>
      </c>
      <c r="C11" s="15" t="s">
        <v>20</v>
      </c>
      <c r="D11" s="26">
        <f>SUM(D12:D16)</f>
        <v>0</v>
      </c>
      <c r="E11" s="26">
        <f t="shared" ref="E11:P11" si="6">SUM(E12:E16)</f>
        <v>0</v>
      </c>
      <c r="F11" s="26">
        <f t="shared" si="6"/>
        <v>0.57999999999999996</v>
      </c>
      <c r="G11" s="26">
        <f t="shared" si="6"/>
        <v>0</v>
      </c>
      <c r="H11" s="26">
        <f t="shared" si="6"/>
        <v>0</v>
      </c>
      <c r="I11" s="26">
        <f t="shared" si="6"/>
        <v>1.27</v>
      </c>
      <c r="J11" s="26">
        <f t="shared" si="6"/>
        <v>4.4000000000000004</v>
      </c>
      <c r="K11" s="27">
        <f t="shared" si="6"/>
        <v>0</v>
      </c>
      <c r="L11" s="27">
        <f t="shared" si="6"/>
        <v>0</v>
      </c>
      <c r="M11" s="27">
        <f t="shared" si="6"/>
        <v>0</v>
      </c>
      <c r="N11" s="27">
        <f t="shared" si="6"/>
        <v>0</v>
      </c>
      <c r="O11" s="27">
        <f t="shared" si="6"/>
        <v>0</v>
      </c>
      <c r="P11" s="28">
        <f t="shared" si="6"/>
        <v>6.25</v>
      </c>
    </row>
    <row r="12" spans="1:16" x14ac:dyDescent="0.3">
      <c r="A12" s="43"/>
      <c r="B12" s="44"/>
      <c r="C12" s="18" t="s">
        <v>21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20"/>
      <c r="L12" s="21"/>
      <c r="M12" s="22"/>
      <c r="N12" s="23"/>
      <c r="O12" s="24"/>
      <c r="P12" s="25">
        <f t="shared" ref="P12:P14" si="7">SUM(D12:J12)</f>
        <v>1</v>
      </c>
    </row>
    <row r="13" spans="1:16" x14ac:dyDescent="0.3">
      <c r="A13" s="43"/>
      <c r="B13" s="44"/>
      <c r="C13" s="18" t="s">
        <v>22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0.33</v>
      </c>
      <c r="J13" s="19">
        <v>0.8</v>
      </c>
      <c r="K13" s="20"/>
      <c r="L13" s="21"/>
      <c r="M13" s="22"/>
      <c r="N13" s="23"/>
      <c r="O13" s="24"/>
      <c r="P13" s="25">
        <f t="shared" si="7"/>
        <v>1.1300000000000001</v>
      </c>
    </row>
    <row r="14" spans="1:16" x14ac:dyDescent="0.3">
      <c r="A14" s="43"/>
      <c r="B14" s="44"/>
      <c r="C14" s="18" t="s">
        <v>23</v>
      </c>
      <c r="D14" s="19">
        <v>0</v>
      </c>
      <c r="E14" s="19">
        <v>0</v>
      </c>
      <c r="F14" s="29">
        <v>0</v>
      </c>
      <c r="G14" s="19">
        <v>0</v>
      </c>
      <c r="H14" s="19">
        <v>0</v>
      </c>
      <c r="I14" s="19">
        <v>0.67</v>
      </c>
      <c r="J14" s="19">
        <v>2.6</v>
      </c>
      <c r="K14" s="20"/>
      <c r="L14" s="21"/>
      <c r="M14" s="22"/>
      <c r="N14" s="23"/>
      <c r="O14" s="24"/>
      <c r="P14" s="25">
        <f t="shared" si="7"/>
        <v>3.27</v>
      </c>
    </row>
    <row r="15" spans="1:16" x14ac:dyDescent="0.3">
      <c r="A15" s="43"/>
      <c r="B15" s="44"/>
      <c r="C15" s="18" t="s">
        <v>24</v>
      </c>
      <c r="D15" s="19">
        <v>0</v>
      </c>
      <c r="E15" s="19">
        <v>0</v>
      </c>
      <c r="F15" s="19">
        <v>0.57999999999999996</v>
      </c>
      <c r="G15" s="19">
        <v>0</v>
      </c>
      <c r="H15" s="19">
        <v>0</v>
      </c>
      <c r="I15" s="19">
        <v>0.27</v>
      </c>
      <c r="J15" s="19">
        <v>0</v>
      </c>
      <c r="K15" s="20"/>
      <c r="L15" s="21"/>
      <c r="M15" s="22"/>
      <c r="N15" s="23"/>
      <c r="O15" s="24"/>
      <c r="P15" s="25">
        <f>SUM(D15:K15)</f>
        <v>0.85</v>
      </c>
    </row>
    <row r="16" spans="1:16" x14ac:dyDescent="0.3">
      <c r="A16" s="43"/>
      <c r="B16" s="44"/>
      <c r="C16" s="18" t="s">
        <v>25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20"/>
      <c r="L16" s="21"/>
      <c r="M16" s="22"/>
      <c r="N16" s="23"/>
      <c r="O16" s="24"/>
      <c r="P16" s="25">
        <f>SUM(D16:K16)</f>
        <v>0</v>
      </c>
    </row>
    <row r="17" spans="1:16" x14ac:dyDescent="0.3">
      <c r="A17" s="43" t="s">
        <v>27</v>
      </c>
      <c r="B17" s="44">
        <f>P17</f>
        <v>4.8900000000000006</v>
      </c>
      <c r="C17" s="15" t="s">
        <v>20</v>
      </c>
      <c r="D17" s="26">
        <f>SUM(D18:D22)</f>
        <v>0</v>
      </c>
      <c r="E17" s="26">
        <f t="shared" ref="E17:P17" si="8">SUM(E18:E22)</f>
        <v>0.5</v>
      </c>
      <c r="F17" s="26">
        <f t="shared" si="8"/>
        <v>1.89</v>
      </c>
      <c r="G17" s="26">
        <f t="shared" si="8"/>
        <v>0</v>
      </c>
      <c r="H17" s="26">
        <f t="shared" si="8"/>
        <v>0</v>
      </c>
      <c r="I17" s="26">
        <f t="shared" si="8"/>
        <v>1.1000000000000001</v>
      </c>
      <c r="J17" s="26">
        <f t="shared" si="8"/>
        <v>1.4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8">
        <f t="shared" si="8"/>
        <v>4.8900000000000006</v>
      </c>
    </row>
    <row r="18" spans="1:16" x14ac:dyDescent="0.3">
      <c r="A18" s="43"/>
      <c r="B18" s="44"/>
      <c r="C18" s="18" t="s">
        <v>21</v>
      </c>
      <c r="D18" s="19">
        <v>0</v>
      </c>
      <c r="E18" s="19">
        <v>0</v>
      </c>
      <c r="F18" s="19">
        <v>1.2</v>
      </c>
      <c r="G18" s="19">
        <v>0</v>
      </c>
      <c r="H18" s="19">
        <v>0</v>
      </c>
      <c r="I18" s="19">
        <v>0</v>
      </c>
      <c r="J18" s="19">
        <v>0</v>
      </c>
      <c r="K18" s="20"/>
      <c r="L18" s="21"/>
      <c r="M18" s="22"/>
      <c r="N18" s="23"/>
      <c r="O18" s="24"/>
      <c r="P18" s="25">
        <f t="shared" ref="P18:P22" si="9">SUM(D18:J18)</f>
        <v>1.2</v>
      </c>
    </row>
    <row r="19" spans="1:16" x14ac:dyDescent="0.3">
      <c r="A19" s="43"/>
      <c r="B19" s="44"/>
      <c r="C19" s="18" t="s">
        <v>22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0.9</v>
      </c>
      <c r="K19" s="20"/>
      <c r="L19" s="21"/>
      <c r="M19" s="22"/>
      <c r="N19" s="23"/>
      <c r="O19" s="24"/>
      <c r="P19" s="25">
        <f t="shared" si="9"/>
        <v>0.9</v>
      </c>
    </row>
    <row r="20" spans="1:16" x14ac:dyDescent="0.3">
      <c r="A20" s="43"/>
      <c r="B20" s="44"/>
      <c r="C20" s="18" t="s">
        <v>23</v>
      </c>
      <c r="D20" s="19">
        <v>0</v>
      </c>
      <c r="E20" s="19">
        <v>0</v>
      </c>
      <c r="F20" s="19">
        <v>0.39</v>
      </c>
      <c r="G20" s="19">
        <v>0</v>
      </c>
      <c r="H20" s="19">
        <v>0</v>
      </c>
      <c r="I20" s="19">
        <v>0</v>
      </c>
      <c r="J20" s="19">
        <v>0</v>
      </c>
      <c r="K20" s="20"/>
      <c r="L20" s="21"/>
      <c r="M20" s="22"/>
      <c r="N20" s="23"/>
      <c r="O20" s="24"/>
      <c r="P20" s="25">
        <f t="shared" si="9"/>
        <v>0.39</v>
      </c>
    </row>
    <row r="21" spans="1:16" x14ac:dyDescent="0.3">
      <c r="A21" s="43"/>
      <c r="B21" s="44"/>
      <c r="C21" s="18" t="s">
        <v>24</v>
      </c>
      <c r="D21" s="19">
        <v>0</v>
      </c>
      <c r="E21" s="19">
        <v>0.5</v>
      </c>
      <c r="F21" s="19">
        <v>0.3</v>
      </c>
      <c r="G21" s="19">
        <v>0</v>
      </c>
      <c r="H21" s="19">
        <v>0</v>
      </c>
      <c r="I21" s="19">
        <v>0.4</v>
      </c>
      <c r="J21" s="19">
        <v>0.5</v>
      </c>
      <c r="K21" s="20"/>
      <c r="L21" s="21"/>
      <c r="M21" s="22"/>
      <c r="N21" s="23"/>
      <c r="O21" s="24"/>
      <c r="P21" s="25">
        <f t="shared" si="9"/>
        <v>1.7000000000000002</v>
      </c>
    </row>
    <row r="22" spans="1:16" x14ac:dyDescent="0.3">
      <c r="A22" s="43"/>
      <c r="B22" s="44"/>
      <c r="C22" s="18" t="s">
        <v>25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0.7</v>
      </c>
      <c r="J22" s="19">
        <v>0</v>
      </c>
      <c r="K22" s="20"/>
      <c r="L22" s="21"/>
      <c r="M22" s="22"/>
      <c r="N22" s="23"/>
      <c r="O22" s="24"/>
      <c r="P22" s="25">
        <f t="shared" si="9"/>
        <v>0.7</v>
      </c>
    </row>
    <row r="23" spans="1:16" x14ac:dyDescent="0.3">
      <c r="A23" s="43" t="s">
        <v>28</v>
      </c>
      <c r="B23" s="44">
        <f>P23</f>
        <v>10.51</v>
      </c>
      <c r="C23" s="15" t="s">
        <v>20</v>
      </c>
      <c r="D23" s="26">
        <f>SUM(D24:D28)</f>
        <v>0.4</v>
      </c>
      <c r="E23" s="26">
        <f t="shared" ref="E23:P23" si="10">SUM(E24:E28)</f>
        <v>3.3</v>
      </c>
      <c r="F23" s="26">
        <f t="shared" si="10"/>
        <v>2.29</v>
      </c>
      <c r="G23" s="26">
        <f t="shared" si="10"/>
        <v>0.44</v>
      </c>
      <c r="H23" s="26">
        <f t="shared" si="10"/>
        <v>0.71</v>
      </c>
      <c r="I23" s="26">
        <f t="shared" si="10"/>
        <v>2</v>
      </c>
      <c r="J23" s="26">
        <f t="shared" si="10"/>
        <v>1.3699999999999999</v>
      </c>
      <c r="K23" s="27">
        <f t="shared" si="10"/>
        <v>0</v>
      </c>
      <c r="L23" s="27">
        <f t="shared" si="10"/>
        <v>0</v>
      </c>
      <c r="M23" s="27">
        <f t="shared" si="10"/>
        <v>0</v>
      </c>
      <c r="N23" s="27">
        <f t="shared" si="10"/>
        <v>0</v>
      </c>
      <c r="O23" s="27">
        <f t="shared" si="10"/>
        <v>0</v>
      </c>
      <c r="P23" s="28">
        <f t="shared" si="10"/>
        <v>10.51</v>
      </c>
    </row>
    <row r="24" spans="1:16" x14ac:dyDescent="0.3">
      <c r="A24" s="43"/>
      <c r="B24" s="44"/>
      <c r="C24" s="18" t="s">
        <v>21</v>
      </c>
      <c r="D24" s="30">
        <v>0</v>
      </c>
      <c r="E24" s="30">
        <v>0</v>
      </c>
      <c r="F24" s="30">
        <v>0.94</v>
      </c>
      <c r="G24" s="30">
        <v>0.31</v>
      </c>
      <c r="H24" s="30">
        <v>0.4</v>
      </c>
      <c r="I24" s="30">
        <v>0</v>
      </c>
      <c r="J24" s="30">
        <v>0.17</v>
      </c>
      <c r="K24" s="20"/>
      <c r="L24" s="31"/>
      <c r="M24" s="32"/>
      <c r="N24" s="33"/>
      <c r="O24" s="34"/>
      <c r="P24" s="25">
        <f t="shared" ref="P24:P25" si="11">SUM(D24:J24)</f>
        <v>1.8199999999999998</v>
      </c>
    </row>
    <row r="25" spans="1:16" x14ac:dyDescent="0.3">
      <c r="A25" s="43"/>
      <c r="B25" s="44"/>
      <c r="C25" s="18" t="s">
        <v>22</v>
      </c>
      <c r="D25" s="30">
        <v>0.4</v>
      </c>
      <c r="E25" s="30">
        <v>3.3</v>
      </c>
      <c r="F25" s="30">
        <v>1.35</v>
      </c>
      <c r="G25" s="30">
        <v>0.13</v>
      </c>
      <c r="H25" s="30">
        <v>0.13</v>
      </c>
      <c r="I25" s="30">
        <v>2</v>
      </c>
      <c r="J25" s="30">
        <v>1.2</v>
      </c>
      <c r="K25" s="20"/>
      <c r="L25" s="31"/>
      <c r="M25" s="32"/>
      <c r="N25" s="33"/>
      <c r="O25" s="34"/>
      <c r="P25" s="25">
        <f t="shared" si="11"/>
        <v>8.51</v>
      </c>
    </row>
    <row r="26" spans="1:16" x14ac:dyDescent="0.3">
      <c r="A26" s="43"/>
      <c r="B26" s="44"/>
      <c r="C26" s="18" t="s">
        <v>23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20"/>
      <c r="L26" s="31"/>
      <c r="M26" s="32"/>
      <c r="N26" s="33"/>
      <c r="O26" s="34"/>
      <c r="P26" s="25">
        <f>SUM(D26:K26)</f>
        <v>0</v>
      </c>
    </row>
    <row r="27" spans="1:16" x14ac:dyDescent="0.3">
      <c r="A27" s="43"/>
      <c r="B27" s="44"/>
      <c r="C27" s="18" t="s">
        <v>24</v>
      </c>
      <c r="D27" s="30">
        <v>0</v>
      </c>
      <c r="E27" s="30">
        <v>0</v>
      </c>
      <c r="F27" s="30">
        <v>0</v>
      </c>
      <c r="G27" s="30">
        <v>0</v>
      </c>
      <c r="H27" s="30">
        <v>0.18</v>
      </c>
      <c r="I27" s="30">
        <v>0</v>
      </c>
      <c r="J27" s="30">
        <v>0</v>
      </c>
      <c r="K27" s="20"/>
      <c r="L27" s="31"/>
      <c r="M27" s="32"/>
      <c r="N27" s="33"/>
      <c r="O27" s="34"/>
      <c r="P27" s="25">
        <f t="shared" ref="P27:P28" si="12">SUM(D27:J27)</f>
        <v>0.18</v>
      </c>
    </row>
    <row r="28" spans="1:16" ht="15" thickBot="1" x14ac:dyDescent="0.35">
      <c r="A28" s="45"/>
      <c r="B28" s="46"/>
      <c r="C28" s="35" t="s">
        <v>25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7"/>
      <c r="L28" s="38"/>
      <c r="M28" s="39"/>
      <c r="N28" s="40"/>
      <c r="O28" s="41"/>
      <c r="P28" s="42">
        <f t="shared" si="12"/>
        <v>0</v>
      </c>
    </row>
  </sheetData>
  <mergeCells count="10">
    <mergeCell ref="A17:A22"/>
    <mergeCell ref="B17:B22"/>
    <mergeCell ref="A23:A28"/>
    <mergeCell ref="B23:B28"/>
    <mergeCell ref="A1:B1"/>
    <mergeCell ref="C1:P1"/>
    <mergeCell ref="A5:A10"/>
    <mergeCell ref="B5:B10"/>
    <mergeCell ref="A11:A16"/>
    <mergeCell ref="B11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HOPLONG</cp:lastModifiedBy>
  <dcterms:created xsi:type="dcterms:W3CDTF">2020-08-11T15:20:24Z</dcterms:created>
  <dcterms:modified xsi:type="dcterms:W3CDTF">2020-08-11T15:51:14Z</dcterms:modified>
</cp:coreProperties>
</file>